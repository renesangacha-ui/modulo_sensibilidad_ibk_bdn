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4e5b6bb3df78a73/Documentos/VOi/procesos/modulo_sensibilidad_ibk_bdn/documents/"/>
    </mc:Choice>
  </mc:AlternateContent>
  <xr:revisionPtr revIDLastSave="182" documentId="13_ncr:1_{65313740-E3AD-4B4A-AE57-78DCDF5A9802}" xr6:coauthVersionLast="47" xr6:coauthVersionMax="47" xr10:uidLastSave="{DE0DEFFF-2384-4EAB-AD4D-810F37A4A984}"/>
  <bookViews>
    <workbookView xWindow="-108" yWindow="-108" windowWidth="23256" windowHeight="13896" tabRatio="500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10" i="1" l="1"/>
  <c r="J10" i="1"/>
  <c r="I10" i="1"/>
  <c r="I9" i="1"/>
  <c r="F6" i="1"/>
  <c r="E6" i="1"/>
  <c r="K6" i="1"/>
  <c r="K9" i="1" s="1"/>
  <c r="J8" i="1"/>
  <c r="J7" i="1"/>
  <c r="J6" i="1"/>
  <c r="J9" i="1" s="1"/>
  <c r="I7" i="1"/>
  <c r="I8" i="1"/>
  <c r="F7" i="1"/>
  <c r="F8" i="1"/>
  <c r="E7" i="1"/>
  <c r="E8" i="1"/>
  <c r="I6" i="1"/>
  <c r="K8" i="1"/>
  <c r="K7" i="1"/>
</calcChain>
</file>

<file path=xl/sharedStrings.xml><?xml version="1.0" encoding="utf-8"?>
<sst xmlns="http://schemas.openxmlformats.org/spreadsheetml/2006/main" count="26" uniqueCount="23">
  <si>
    <t>Segmento</t>
  </si>
  <si>
    <t>Subsegmento</t>
  </si>
  <si>
    <t>Cliente Ancla</t>
  </si>
  <si>
    <t>Bajo Riesgo</t>
  </si>
  <si>
    <t>Medio Riesgo</t>
  </si>
  <si>
    <t>Alto Riesgo</t>
  </si>
  <si>
    <t>Monto Desembolsado 
Mercado</t>
  </si>
  <si>
    <t>Monto Desembolsado
IBK</t>
  </si>
  <si>
    <t>Tasa desembolsada
IBK</t>
  </si>
  <si>
    <t>Tasa Mercado</t>
  </si>
  <si>
    <t>Tasa Mercado
Mix</t>
  </si>
  <si>
    <t>Participación IBK</t>
  </si>
  <si>
    <t>Participación Mercado</t>
  </si>
  <si>
    <t>Tasas Ponderadas
Segmento</t>
  </si>
  <si>
    <t>Elasticidad</t>
  </si>
  <si>
    <t>P Valor</t>
  </si>
  <si>
    <t>Materialidad N (%)</t>
  </si>
  <si>
    <t>Materialidad Monto (%)</t>
  </si>
  <si>
    <t>Sin Deuda</t>
  </si>
  <si>
    <t>Por Fidelizar - Mayor Escala</t>
  </si>
  <si>
    <t>Por Fidelizar - Escala Intermedia</t>
  </si>
  <si>
    <t>Fidelizados</t>
  </si>
  <si>
    <t>¿Cuál sería la tasa del mercado, considerando el mix de IBK?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</si>
</sst>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color theme="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0" fontId="0" fillId="0" borderId="0" xfId="0" applyNumberFormat="1"/>
    <xf numFmtId="10" fontId="0" fillId="0" borderId="0" xfId="1" applyNumberFormat="1" applyFont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2" fontId="4" fillId="0" borderId="1" xfId="0" applyNumberFormat="1" applyFont="1" applyBorder="1"/>
    <xf numFmtId="9" fontId="4" fillId="0" borderId="1" xfId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6"/>
  <sheetViews>
    <sheetView tabSelected="1" topLeftCell="A3" zoomScale="110" zoomScaleNormal="110" workbookViewId="0">
      <selection activeCell="F10" sqref="F10"/>
    </sheetView>
  </sheetViews>
  <sheetFormatPr baseColWidth="10" defaultColWidth="11.5546875" defaultRowHeight="13.2" x14ac:dyDescent="0.25"/>
  <cols>
    <col min="2" max="2" width="13" bestFit="1" customWidth="1"/>
    <col min="3" max="3" width="23.6640625" bestFit="1" customWidth="1"/>
    <col min="4" max="6" width="16" customWidth="1"/>
    <col min="7" max="7" width="13.88671875" bestFit="1" customWidth="1"/>
    <col min="8" max="8" width="17.21875" bestFit="1" customWidth="1"/>
    <col min="9" max="10" width="14.44140625" customWidth="1"/>
    <col min="11" max="11" width="17.109375" customWidth="1"/>
  </cols>
  <sheetData>
    <row r="1" spans="2:11" ht="14.4" customHeight="1" x14ac:dyDescent="0.25"/>
    <row r="2" spans="2:11" ht="14.4" customHeight="1" x14ac:dyDescent="0.25">
      <c r="B2" s="1" t="s">
        <v>0</v>
      </c>
      <c r="C2" s="5" t="s">
        <v>2</v>
      </c>
    </row>
    <row r="3" spans="2:11" ht="14.4" customHeight="1" x14ac:dyDescent="0.25"/>
    <row r="4" spans="2:11" ht="14.4" customHeight="1" x14ac:dyDescent="0.25"/>
    <row r="5" spans="2:11" s="4" customFormat="1" ht="39.6" x14ac:dyDescent="0.25">
      <c r="B5" s="2" t="s">
        <v>1</v>
      </c>
      <c r="C5" s="3" t="s">
        <v>7</v>
      </c>
      <c r="D5" s="3" t="s">
        <v>6</v>
      </c>
      <c r="E5" s="3" t="s">
        <v>11</v>
      </c>
      <c r="F5" s="3" t="s">
        <v>12</v>
      </c>
      <c r="G5" s="3" t="s">
        <v>8</v>
      </c>
      <c r="H5" s="3" t="s">
        <v>9</v>
      </c>
      <c r="I5" s="3" t="s">
        <v>8</v>
      </c>
      <c r="J5" s="2" t="s">
        <v>9</v>
      </c>
      <c r="K5" s="3" t="s">
        <v>10</v>
      </c>
    </row>
    <row r="6" spans="2:11" x14ac:dyDescent="0.25">
      <c r="B6" s="5" t="s">
        <v>3</v>
      </c>
      <c r="C6" s="5">
        <v>10</v>
      </c>
      <c r="D6" s="5">
        <v>50</v>
      </c>
      <c r="E6" s="9">
        <f>C6/SUM($C$6:$C$8)</f>
        <v>0.16666666666666666</v>
      </c>
      <c r="F6" s="9">
        <f>D6/SUM($D$6:$D$8)</f>
        <v>0.45454545454545453</v>
      </c>
      <c r="G6" s="10">
        <v>0.1</v>
      </c>
      <c r="H6" s="10">
        <v>0.09</v>
      </c>
      <c r="I6" s="10">
        <f>+G6*C6/SUM($C$6:$C$8)</f>
        <v>1.6666666666666666E-2</v>
      </c>
      <c r="J6" s="10">
        <f>+H6*D6/SUM($D$6:$D$8)</f>
        <v>4.0909090909090909E-2</v>
      </c>
      <c r="K6" s="10">
        <f>+H6*C6/SUM($C$6:$C$8)</f>
        <v>1.4999999999999998E-2</v>
      </c>
    </row>
    <row r="7" spans="2:11" x14ac:dyDescent="0.25">
      <c r="B7" s="5" t="s">
        <v>4</v>
      </c>
      <c r="C7" s="5">
        <v>20</v>
      </c>
      <c r="D7" s="5">
        <v>40</v>
      </c>
      <c r="E7" s="9">
        <f t="shared" ref="E7:E8" si="0">C7/SUM($C$6:$C$8)</f>
        <v>0.33333333333333331</v>
      </c>
      <c r="F7" s="9">
        <f t="shared" ref="F7:F8" si="1">D7/SUM($D$6:$D$8)</f>
        <v>0.36363636363636365</v>
      </c>
      <c r="G7" s="10">
        <v>0.12</v>
      </c>
      <c r="H7" s="10">
        <v>0.13</v>
      </c>
      <c r="I7" s="10">
        <f>+G7*C7/SUM($C$6:$C$8)</f>
        <v>0.04</v>
      </c>
      <c r="J7" s="10">
        <f>+H7*D7/SUM($D$6:$D$8)</f>
        <v>4.7272727272727272E-2</v>
      </c>
      <c r="K7" s="10">
        <f>+H7*C7/SUM($C$6:$C$8)</f>
        <v>4.3333333333333335E-2</v>
      </c>
    </row>
    <row r="8" spans="2:11" x14ac:dyDescent="0.25">
      <c r="B8" s="5" t="s">
        <v>5</v>
      </c>
      <c r="C8" s="5">
        <v>30</v>
      </c>
      <c r="D8" s="5">
        <v>20</v>
      </c>
      <c r="E8" s="9">
        <f t="shared" si="0"/>
        <v>0.5</v>
      </c>
      <c r="F8" s="9">
        <f t="shared" si="1"/>
        <v>0.18181818181818182</v>
      </c>
      <c r="G8" s="10">
        <v>0.13</v>
      </c>
      <c r="H8" s="10">
        <v>0.15</v>
      </c>
      <c r="I8" s="10">
        <f>+G8*C8/SUM($C$6:$C$8)</f>
        <v>6.5000000000000002E-2</v>
      </c>
      <c r="J8" s="10">
        <f>+H8*D8/SUM($D$6:$D$8)</f>
        <v>2.7272727272727271E-2</v>
      </c>
      <c r="K8" s="10">
        <f>+H8*C8/SUM($C$6:$C$8)</f>
        <v>7.4999999999999997E-2</v>
      </c>
    </row>
    <row r="9" spans="2:11" ht="26.4" x14ac:dyDescent="0.25">
      <c r="B9" s="4"/>
      <c r="C9" s="4"/>
      <c r="D9" s="4"/>
      <c r="E9" s="4"/>
      <c r="F9" s="4"/>
      <c r="G9" s="4"/>
      <c r="H9" s="6" t="s">
        <v>13</v>
      </c>
      <c r="I9" s="11">
        <f>SUM(I6:I8)</f>
        <v>0.12166666666666667</v>
      </c>
      <c r="J9" s="11">
        <f>SUM(J6:J8)</f>
        <v>0.11545454545454545</v>
      </c>
      <c r="K9" s="11">
        <f>SUM(K6:K8)</f>
        <v>0.13333333333333333</v>
      </c>
    </row>
    <row r="10" spans="2:11" x14ac:dyDescent="0.25">
      <c r="B10" s="4"/>
      <c r="C10" s="4"/>
      <c r="D10" s="4"/>
      <c r="E10" s="4"/>
      <c r="F10" s="4"/>
      <c r="G10" s="4"/>
      <c r="H10" s="4"/>
      <c r="I10" s="8">
        <f>SUMPRODUCT(C6:C8,G6:G8)/SUM(C6:C8)</f>
        <v>0.12166666666666667</v>
      </c>
      <c r="J10" s="8">
        <f>SUMPRODUCT(D6:D8,H6:H8)/SUM(D6:D8)</f>
        <v>0.11545454545454545</v>
      </c>
      <c r="K10" s="8">
        <f>SUMPRODUCT(C6:C8,H6:H8)/SUM(C6:C8)</f>
        <v>0.13333333333333333</v>
      </c>
    </row>
    <row r="12" spans="2:11" x14ac:dyDescent="0.25">
      <c r="K12" s="7"/>
    </row>
    <row r="16" spans="2:11" x14ac:dyDescent="0.25">
      <c r="B16" t="s">
        <v>22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574D5-75ED-4FD3-8A6C-8ABB842F9C31}">
  <dimension ref="C5:G9"/>
  <sheetViews>
    <sheetView workbookViewId="0">
      <selection activeCell="C5" sqref="C5:G9"/>
    </sheetView>
  </sheetViews>
  <sheetFormatPr baseColWidth="10" defaultRowHeight="13.8" x14ac:dyDescent="0.3"/>
  <cols>
    <col min="1" max="2" width="11.5546875" style="13"/>
    <col min="3" max="3" width="25.77734375" style="13" bestFit="1" customWidth="1"/>
    <col min="4" max="4" width="9.21875" style="13" bestFit="1" customWidth="1"/>
    <col min="5" max="5" width="6.5546875" style="13" bestFit="1" customWidth="1"/>
    <col min="6" max="6" width="19.77734375" style="13" bestFit="1" customWidth="1"/>
    <col min="7" max="7" width="15.5546875" style="13" bestFit="1" customWidth="1"/>
    <col min="8" max="16384" width="11.5546875" style="13"/>
  </cols>
  <sheetData>
    <row r="5" spans="3:7" x14ac:dyDescent="0.3">
      <c r="C5" s="12" t="s">
        <v>0</v>
      </c>
      <c r="D5" s="12" t="s">
        <v>14</v>
      </c>
      <c r="E5" s="12" t="s">
        <v>15</v>
      </c>
      <c r="F5" s="12" t="s">
        <v>17</v>
      </c>
      <c r="G5" s="12" t="s">
        <v>16</v>
      </c>
    </row>
    <row r="6" spans="3:7" x14ac:dyDescent="0.3">
      <c r="C6" s="14" t="s">
        <v>18</v>
      </c>
      <c r="D6" s="15">
        <v>-4.7706689999999998</v>
      </c>
      <c r="E6" s="15">
        <v>3.6150000000000002E-3</v>
      </c>
      <c r="F6" s="16">
        <v>6.0463173198094203E-2</v>
      </c>
      <c r="G6" s="16">
        <v>0.111403299067654</v>
      </c>
    </row>
    <row r="7" spans="3:7" x14ac:dyDescent="0.3">
      <c r="C7" s="14" t="s">
        <v>20</v>
      </c>
      <c r="D7" s="15">
        <v>-3.8193869999999999</v>
      </c>
      <c r="E7" s="15">
        <v>8.9621000000000006E-2</v>
      </c>
      <c r="F7" s="16">
        <v>0.33201877649872202</v>
      </c>
      <c r="G7" s="16">
        <v>0.31221611283767597</v>
      </c>
    </row>
    <row r="8" spans="3:7" x14ac:dyDescent="0.3">
      <c r="C8" s="14" t="s">
        <v>19</v>
      </c>
      <c r="D8" s="15">
        <v>-2.603723</v>
      </c>
      <c r="E8" s="15">
        <v>2.6404E-2</v>
      </c>
      <c r="F8" s="16">
        <v>0.35653367082578702</v>
      </c>
      <c r="G8" s="16">
        <v>0.29476452306956702</v>
      </c>
    </row>
    <row r="9" spans="3:7" x14ac:dyDescent="0.3">
      <c r="C9" s="14" t="s">
        <v>21</v>
      </c>
      <c r="D9" s="15">
        <v>-1.0221960000000001</v>
      </c>
      <c r="E9" s="15">
        <v>0.65947699999999998</v>
      </c>
      <c r="F9" s="16">
        <v>0.25098437947739599</v>
      </c>
      <c r="G9" s="16">
        <v>0.281616065025101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Rene Sangacha</cp:lastModifiedBy>
  <cp:revision>1</cp:revision>
  <dcterms:created xsi:type="dcterms:W3CDTF">2026-10-09T08:45:45Z</dcterms:created>
  <dcterms:modified xsi:type="dcterms:W3CDTF">2026-10-15T15:41:25Z</dcterms:modified>
  <dc:language>en-US</dc:language>
</cp:coreProperties>
</file>